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M score" sheetId="1" state="visible" r:id="rId1"/>
    <sheet name="Universal version" sheetId="2" state="visible" r:id="rId2"/>
    <sheet name="Units and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00"/>
    <numFmt numFmtId="165" formatCode="0.000"/>
    <numFmt numFmtId="166" formatCode="0.0000"/>
    <numFmt numFmtId="167" formatCode="0.0E+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BTM score calculator -- main score (RDW-SD, RET absolute, MCHC)</t>
        </is>
      </c>
    </row>
    <row r="2">
      <c r="A2" t="inlineStr">
        <is>
          <t>Research tool derived from this study's cohort -- not a validated medical device. Enter each value in the unit shown (yellow cells).</t>
        </is>
      </c>
    </row>
    <row r="4">
      <c r="A4" s="2" t="inlineStr">
        <is>
          <t>Variable</t>
        </is>
      </c>
      <c r="B4" s="2" t="inlineStr">
        <is>
          <t>Value to enter</t>
        </is>
      </c>
      <c r="C4" s="2" t="inlineStr">
        <is>
          <t>Unit</t>
        </is>
      </c>
      <c r="D4" s="2" t="inlineStr">
        <is>
          <t>Coefficient (per unit)</t>
        </is>
      </c>
      <c r="E4" s="2" t="inlineStr">
        <is>
          <t>Cohort 1st percentile</t>
        </is>
      </c>
      <c r="F4" s="2" t="inlineStr">
        <is>
          <t>Cohort 99th percentile</t>
        </is>
      </c>
      <c r="G4" s="2" t="inlineStr">
        <is>
          <t>Input check</t>
        </is>
      </c>
    </row>
    <row r="5">
      <c r="A5" t="inlineStr">
        <is>
          <t>MCHC</t>
        </is>
      </c>
      <c r="B5" s="3" t="n">
        <v>29.05</v>
      </c>
      <c r="C5" t="inlineStr">
        <is>
          <t>g/dL</t>
        </is>
      </c>
      <c r="D5" s="4" t="n">
        <v>0.7629628347832522</v>
      </c>
      <c r="E5" t="n">
        <v>23.387</v>
      </c>
      <c r="F5" t="n">
        <v>33.971</v>
      </c>
      <c r="G5">
        <f>IF(AND(ISNUMBER(B5),B5&gt;=E5,B5&lt;=F5),"ok","outside the range seen in the cohort")</f>
        <v/>
      </c>
    </row>
    <row r="6">
      <c r="A6" t="inlineStr">
        <is>
          <t>RDW-SD</t>
        </is>
      </c>
      <c r="B6" s="3" t="n">
        <v>46.1</v>
      </c>
      <c r="C6" t="inlineStr">
        <is>
          <t>fL</t>
        </is>
      </c>
      <c r="D6" s="4" t="n">
        <v>-0.3930434385467613</v>
      </c>
      <c r="E6" t="n">
        <v>32.8</v>
      </c>
      <c r="F6" t="n">
        <v>74.34800000000003</v>
      </c>
      <c r="G6">
        <f>IF(AND(ISNUMBER(B6),B6&gt;=E6,B6&lt;=F6),"ok","outside the range seen in the cohort")</f>
        <v/>
      </c>
    </row>
    <row r="7">
      <c r="A7" t="inlineStr">
        <is>
          <t>RET absolute</t>
        </is>
      </c>
      <c r="B7" s="3" t="n">
        <v>45.25</v>
      </c>
      <c r="C7" t="inlineStr">
        <is>
          <t>x10^9/L (= x10^3/uL, the usual reticulocyte reporting unit)</t>
        </is>
      </c>
      <c r="D7" s="4" t="n">
        <v>0.06430678177196002</v>
      </c>
      <c r="E7" t="n">
        <v>11.816</v>
      </c>
      <c r="F7" t="n">
        <v>162.1579999999998</v>
      </c>
      <c r="G7">
        <f>IF(AND(ISNUMBER(B7),B7&gt;=E7,B7&lt;=F7),"ok","outside the range seen in the cohort")</f>
        <v/>
      </c>
    </row>
    <row r="8">
      <c r="A8" t="inlineStr">
        <is>
          <t>Intercept</t>
        </is>
      </c>
      <c r="D8" s="4" t="n">
        <v>-13.12459869630451</v>
      </c>
    </row>
    <row r="10">
      <c r="A10" s="5" t="inlineStr">
        <is>
          <t>z (linear predictor)</t>
        </is>
      </c>
      <c r="B10">
        <f>SUMPRODUCT(B5:B7,D5:D7)+D8</f>
        <v/>
      </c>
    </row>
    <row r="11">
      <c r="A11" s="5" t="inlineStr">
        <is>
          <t>P(BTM) = 1 / (1 + exp(-z))</t>
        </is>
      </c>
      <c r="B11" s="6">
        <f>1/(1+EXP(-B10))</f>
        <v/>
      </c>
    </row>
    <row r="13">
      <c r="A13" t="inlineStr">
        <is>
          <t>Youden threshold (classify as BTM if P(BTM) &gt;)</t>
        </is>
      </c>
      <c r="B13" s="7" t="n">
        <v>0.3699694839207071</v>
      </c>
    </row>
    <row r="14">
      <c r="A14" s="5" t="inlineStr">
        <is>
          <t>Classification at the Youden threshold</t>
        </is>
      </c>
      <c r="B14">
        <f>IF(B11&gt;B13,"BTM suspected","IDA more likely")</f>
        <v/>
      </c>
    </row>
    <row r="15">
      <c r="A15" t="inlineStr">
        <is>
          <t>High-sensitivity threshold (&gt;= 95% sensitivity)</t>
        </is>
      </c>
      <c r="B15" s="7" t="n">
        <v>0.369969483920707</v>
      </c>
    </row>
    <row r="16">
      <c r="A16" s="5" t="inlineStr">
        <is>
          <t>Classification at the high-sensitivity threshold</t>
        </is>
      </c>
      <c r="B16">
        <f>IF(B11&gt;B15,"BTM suspected","IDA more likely")</f>
        <v/>
      </c>
    </row>
    <row r="18">
      <c r="A18" s="5" t="inlineStr">
        <is>
          <t>Worked examples (median patient of each group) -- Excel vs notebook</t>
        </is>
      </c>
    </row>
    <row r="19">
      <c r="A19" s="2" t="inlineStr">
        <is>
          <t>Example</t>
        </is>
      </c>
      <c r="B19" s="2" t="inlineStr">
        <is>
          <t>MCHC</t>
        </is>
      </c>
      <c r="C19" s="2" t="inlineStr">
        <is>
          <t>RDW-SD</t>
        </is>
      </c>
      <c r="D19" s="2" t="inlineStr">
        <is>
          <t>RET absolute</t>
        </is>
      </c>
      <c r="E19" s="2" t="inlineStr">
        <is>
          <t>P(BTM) in Excel</t>
        </is>
      </c>
      <c r="F19" s="2" t="inlineStr">
        <is>
          <t>P(BTM) in the notebook</t>
        </is>
      </c>
      <c r="G19" s="2" t="inlineStr">
        <is>
          <t>Absolute difference</t>
        </is>
      </c>
    </row>
    <row r="20">
      <c r="A20" t="inlineStr">
        <is>
          <t>Median IDA patient</t>
        </is>
      </c>
      <c r="B20" t="n">
        <v>29.05</v>
      </c>
      <c r="C20" t="n">
        <v>46.1</v>
      </c>
      <c r="D20" t="n">
        <v>45.25</v>
      </c>
      <c r="E20" s="7">
        <f>1/(1+EXP(-(B20*$D$5+C20*$D$6+D20*$D$7+$D$8)))</f>
        <v/>
      </c>
      <c r="F20" s="7" t="n">
        <v>0.002086978095677526</v>
      </c>
      <c r="G20" s="8">
        <f>ABS(E20-F20)</f>
        <v/>
      </c>
    </row>
    <row r="21">
      <c r="A21" t="inlineStr">
        <is>
          <t>Median BTM patient</t>
        </is>
      </c>
      <c r="B21" t="n">
        <v>32.34999999999999</v>
      </c>
      <c r="C21" t="n">
        <v>35.8</v>
      </c>
      <c r="D21" t="n">
        <v>93.45</v>
      </c>
      <c r="E21" s="7">
        <f>1/(1+EXP(-(B21*$D$5+C21*$D$6+D21*$D$7+$D$8)))</f>
        <v/>
      </c>
      <c r="F21" s="7" t="n">
        <v>0.9705669635086899</v>
      </c>
      <c r="G21" s="8">
        <f>ABS(E21-F21)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BTM score calculator -- universal version (7 candidate CBC parameters)</t>
        </is>
      </c>
    </row>
    <row r="2">
      <c r="A2" t="inlineStr">
        <is>
          <t>Research tool derived from this study's cohort -- not a validated medical device. Enter each value in the unit shown (yellow cells).</t>
        </is>
      </c>
    </row>
    <row r="4">
      <c r="A4" s="2" t="inlineStr">
        <is>
          <t>Variable</t>
        </is>
      </c>
      <c r="B4" s="2" t="inlineStr">
        <is>
          <t>Value to enter</t>
        </is>
      </c>
      <c r="C4" s="2" t="inlineStr">
        <is>
          <t>Unit</t>
        </is>
      </c>
      <c r="D4" s="2" t="inlineStr">
        <is>
          <t>Coefficient (per unit)</t>
        </is>
      </c>
      <c r="E4" s="2" t="inlineStr">
        <is>
          <t>Cohort 1st percentile</t>
        </is>
      </c>
      <c r="F4" s="2" t="inlineStr">
        <is>
          <t>Cohort 99th percentile</t>
        </is>
      </c>
      <c r="G4" s="2" t="inlineStr">
        <is>
          <t>Input check</t>
        </is>
      </c>
    </row>
    <row r="5">
      <c r="A5" t="inlineStr">
        <is>
          <t>MCHC</t>
        </is>
      </c>
      <c r="B5" s="3" t="n">
        <v>29.05</v>
      </c>
      <c r="C5" t="inlineStr">
        <is>
          <t>g/dL</t>
        </is>
      </c>
      <c r="D5" s="4" t="n">
        <v>1.167229278765041</v>
      </c>
      <c r="E5" t="n">
        <v>23.387</v>
      </c>
      <c r="F5" t="n">
        <v>33.971</v>
      </c>
      <c r="G5">
        <f>IF(AND(ISNUMBER(B5),B5&gt;=E5,B5&lt;=F5),"ok","outside the range seen in the cohort")</f>
        <v/>
      </c>
    </row>
    <row r="6">
      <c r="A6" t="inlineStr">
        <is>
          <t>MCV</t>
        </is>
      </c>
      <c r="B6" s="3" t="n">
        <v>67.65000000000001</v>
      </c>
      <c r="C6" t="inlineStr">
        <is>
          <t>fL</t>
        </is>
      </c>
      <c r="D6" s="4" t="n">
        <v>-0.2120338970408317</v>
      </c>
      <c r="E6" t="n">
        <v>53.358</v>
      </c>
      <c r="F6" t="n">
        <v>79.471</v>
      </c>
      <c r="G6">
        <f>IF(AND(ISNUMBER(B6),B6&gt;=E6,B6&lt;=F6),"ok","outside the range seen in the cohort")</f>
        <v/>
      </c>
    </row>
    <row r="7">
      <c r="A7" t="inlineStr">
        <is>
          <t>RBC</t>
        </is>
      </c>
      <c r="B7" s="3" t="n">
        <v>4.275</v>
      </c>
      <c r="C7" t="inlineStr">
        <is>
          <t>x10^12/L (= x10^6/uL)</t>
        </is>
      </c>
      <c r="D7" s="4" t="n">
        <v>2.457964015903722</v>
      </c>
      <c r="E7" t="n">
        <v>2.5522</v>
      </c>
      <c r="F7" t="n">
        <v>6.165499999999999</v>
      </c>
      <c r="G7">
        <f>IF(AND(ISNUMBER(B7),B7&gt;=E7,B7&lt;=F7),"ok","outside the range seen in the cohort")</f>
        <v/>
      </c>
    </row>
    <row r="8">
      <c r="A8" t="inlineStr">
        <is>
          <t>Intercept</t>
        </is>
      </c>
      <c r="D8" s="4" t="n">
        <v>-35.11263923929542</v>
      </c>
    </row>
    <row r="10">
      <c r="A10" s="5" t="inlineStr">
        <is>
          <t>z (linear predictor)</t>
        </is>
      </c>
      <c r="B10">
        <f>SUMPRODUCT(B5:B7,D5:D7)+D8</f>
        <v/>
      </c>
    </row>
    <row r="11">
      <c r="A11" s="5" t="inlineStr">
        <is>
          <t>P(BTM) = 1 / (1 + exp(-z))</t>
        </is>
      </c>
      <c r="B11" s="6">
        <f>1/(1+EXP(-B10))</f>
        <v/>
      </c>
    </row>
    <row r="13">
      <c r="A13" t="inlineStr">
        <is>
          <t>Youden threshold (classify as BTM if P(BTM) &gt;)</t>
        </is>
      </c>
      <c r="B13" s="7" t="n">
        <v>0.2071297276576907</v>
      </c>
    </row>
    <row r="14">
      <c r="A14" s="5" t="inlineStr">
        <is>
          <t>Classification at the Youden threshold</t>
        </is>
      </c>
      <c r="B14">
        <f>IF(B11&gt;B13,"BTM suspected","IDA more likely")</f>
        <v/>
      </c>
    </row>
    <row r="15">
      <c r="A15" t="inlineStr">
        <is>
          <t>High-sensitivity threshold (&gt;= 95% sensitivity)</t>
        </is>
      </c>
      <c r="B15" s="7" t="n">
        <v>0.1248653331554283</v>
      </c>
    </row>
    <row r="16">
      <c r="A16" s="5" t="inlineStr">
        <is>
          <t>Classification at the high-sensitivity threshold</t>
        </is>
      </c>
      <c r="B16">
        <f>IF(B11&gt;B15,"BTM suspected","IDA more likely")</f>
        <v/>
      </c>
    </row>
    <row r="18">
      <c r="A18" s="5" t="inlineStr">
        <is>
          <t>Worked examples (median patient of each group) -- Excel vs notebook</t>
        </is>
      </c>
    </row>
    <row r="19">
      <c r="A19" s="2" t="inlineStr">
        <is>
          <t>Example</t>
        </is>
      </c>
      <c r="B19" s="2" t="inlineStr">
        <is>
          <t>MCHC</t>
        </is>
      </c>
      <c r="C19" s="2" t="inlineStr">
        <is>
          <t>MCV</t>
        </is>
      </c>
      <c r="D19" s="2" t="inlineStr">
        <is>
          <t>RBC</t>
        </is>
      </c>
      <c r="E19" s="2" t="inlineStr">
        <is>
          <t>P(BTM) in Excel</t>
        </is>
      </c>
      <c r="F19" s="2" t="inlineStr">
        <is>
          <t>P(BTM) in the notebook</t>
        </is>
      </c>
      <c r="G19" s="2" t="inlineStr">
        <is>
          <t>Absolute difference</t>
        </is>
      </c>
    </row>
    <row r="20">
      <c r="A20" t="inlineStr">
        <is>
          <t>Median IDA patient</t>
        </is>
      </c>
      <c r="B20" t="n">
        <v>29.05</v>
      </c>
      <c r="C20" t="n">
        <v>67.65000000000001</v>
      </c>
      <c r="D20" t="n">
        <v>4.275</v>
      </c>
      <c r="E20" s="7">
        <f>1/(1+EXP(-(B20*$D$5+C20*$D$6+D20*$D$7+$D$8)))</f>
        <v/>
      </c>
      <c r="F20" s="7" t="n">
        <v>0.006426195532527585</v>
      </c>
      <c r="G20" s="8">
        <f>ABS(E20-F20)</f>
        <v/>
      </c>
    </row>
    <row r="21">
      <c r="A21" t="inlineStr">
        <is>
          <t>Median BTM patient</t>
        </is>
      </c>
      <c r="B21" t="n">
        <v>32.34999999999999</v>
      </c>
      <c r="C21" t="n">
        <v>61.1</v>
      </c>
      <c r="D21" t="n">
        <v>5.185</v>
      </c>
      <c r="E21" s="7">
        <f>1/(1+EXP(-(B21*$D$5+C21*$D$6+D21*$D$7+$D$8)))</f>
        <v/>
      </c>
      <c r="F21" s="7" t="n">
        <v>0.9195686179135669</v>
      </c>
      <c r="G21" s="8">
        <f>ABS(E21-F21)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5" t="inlineStr">
        <is>
          <t>Units (enter exactly these)</t>
        </is>
      </c>
      <c r="B1" t="inlineStr"/>
    </row>
    <row r="2">
      <c r="A2" s="9" t="inlineStr">
        <is>
          <t>MCHC</t>
        </is>
      </c>
      <c r="B2" t="inlineStr">
        <is>
          <t>g/dL</t>
        </is>
      </c>
    </row>
    <row r="3">
      <c r="A3" s="9" t="inlineStr">
        <is>
          <t>RDW-SD</t>
        </is>
      </c>
      <c r="B3" t="inlineStr">
        <is>
          <t>fL</t>
        </is>
      </c>
    </row>
    <row r="4">
      <c r="A4" s="9" t="inlineStr">
        <is>
          <t>RET absolute</t>
        </is>
      </c>
      <c r="B4" t="inlineStr">
        <is>
          <t>x10^9/L (= x10^3/uL); NOT the raw cells/uL count</t>
        </is>
      </c>
    </row>
    <row r="5">
      <c r="A5" s="9" t="inlineStr">
        <is>
          <t>MCV</t>
        </is>
      </c>
      <c r="B5" t="inlineStr">
        <is>
          <t>fL</t>
        </is>
      </c>
    </row>
    <row r="6">
      <c r="A6" s="9" t="inlineStr">
        <is>
          <t>RBC</t>
        </is>
      </c>
      <c r="B6" t="inlineStr">
        <is>
          <t>x10^12/L (= x10^6/uL)</t>
        </is>
      </c>
    </row>
    <row r="7">
      <c r="A7" s="9" t="inlineStr">
        <is>
          <t>Hb</t>
        </is>
      </c>
      <c r="B7" t="inlineStr">
        <is>
          <t>g/dL</t>
        </is>
      </c>
    </row>
    <row r="8">
      <c r="A8" s="9" t="inlineStr"/>
      <c r="B8" t="inlineStr"/>
    </row>
    <row r="9">
      <c r="A9" s="9" t="inlineStr">
        <is>
          <t>Main score variables</t>
        </is>
      </c>
      <c r="B9" t="inlineStr">
        <is>
          <t>MCHC, RDW-SD, RET absolute</t>
        </is>
      </c>
    </row>
    <row r="10">
      <c r="A10" s="9" t="inlineStr">
        <is>
          <t>Universal version variables</t>
        </is>
      </c>
      <c r="B10" t="inlineStr">
        <is>
          <t>MCHC, MCV, RBC</t>
        </is>
      </c>
    </row>
    <row r="11">
      <c r="A11" s="9" t="inlineStr"/>
      <c r="B11" t="inlineStr"/>
    </row>
    <row r="12">
      <c r="A12" s="9" t="inlineStr">
        <is>
          <t>Code version</t>
        </is>
      </c>
      <c r="B12" t="inlineStr">
        <is>
          <t>commit dceef394650149e26a756050a142314d5a40644f (branch review-nested-selection)</t>
        </is>
      </c>
    </row>
    <row r="13">
      <c r="A13" s="9" t="inlineStr">
        <is>
          <t>Generated</t>
        </is>
      </c>
      <c r="B13" t="inlineStr">
        <is>
          <t>2026-10-03 21:30:03</t>
        </is>
      </c>
    </row>
    <row r="14">
      <c r="A14" s="9" t="inlineStr">
        <is>
          <t>Thresholds</t>
        </is>
      </c>
      <c r="B14" t="inlineStr">
        <is>
          <t>Youden = maximises sensitivity + specificity on out-of-fold predictions; high-sensitivity = highest threshold reaching &gt;= 95% sensitivity on out-of-fold predictions. Both derived on this cohort only.</t>
        </is>
      </c>
    </row>
    <row r="15">
      <c r="A15" s="5" t="inlineStr">
        <is>
          <t>Caution</t>
        </is>
      </c>
      <c r="B15" t="inlineStr">
        <is>
          <t>Derived and internally validated on a single-centre cohort (IDA vs beta-thalassemia minor); no external validation. Not a validated medical device.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2026-10-03T20:35:36Z</dcterms:created>
  <dcterms:modified xsi:type="dcterms:W3CDTF">2026-10-03T20:35:37Z</dcterms:modified>
</cp:coreProperties>
</file>